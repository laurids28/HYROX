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Log" sheetId="2" state="visible" r:id="rId4"/>
    <sheet name="Benchmark 05.09." sheetId="3" state="visible" r:id="rId5"/>
    <sheet name="Referenz" sheetId="4" state="visible" r:id="rId6"/>
  </sheets>
  <definedNames>
    <definedName function="false" hidden="true" localSheetId="1" name="_xlnm._FilterDatabase" vbProcedure="false">Log!$A$4:$L$32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<sst xmlns="http://schemas.openxmlformats.org/spreadsheetml/2006/main" count="257" uniqueCount="198">
  <si>
    <t xml:space="preserve">Hyrox Single (Open) — Block 1</t>
  </si>
  <si>
    <t xml:space="preserve">Rennen 01.11.2026 · Zielzeit 1:15:00 (Stretch) / sub 1:25 (Plan)</t>
  </si>
  <si>
    <t xml:space="preserve">Wochenauswertung</t>
  </si>
  <si>
    <t xml:space="preserve">Woche</t>
  </si>
  <si>
    <t xml:space="preserve">Einheiten</t>
  </si>
  <si>
    <t xml:space="preserve">erledigt</t>
  </si>
  <si>
    <t xml:space="preserve">Soll km</t>
  </si>
  <si>
    <t xml:space="preserve">Ist km</t>
  </si>
  <si>
    <t xml:space="preserve">Erfüllung</t>
  </si>
  <si>
    <t xml:space="preserve">Fokus</t>
  </si>
  <si>
    <t xml:space="preserve">Woche 1 · 10.–16.08.</t>
  </si>
  <si>
    <t xml:space="preserve">Der einzige riskante Volumensprung im Block (+45 %). Zusatz-km kommen ausschließlich über Häufigkeit bei 6:00+/km. Beim ersten Ziehen in Schienbein, Achillessehne oder Knie: Dienstagseinheit ersatzlos streichen.</t>
  </si>
  <si>
    <t xml:space="preserve">Woche 2 · 17.–23.08.</t>
  </si>
  <si>
    <t xml:space="preserve">Erste echte Intervalleinheit, Farmers Carry auf Renngewicht. Ab jetzt nur noch 10–15 % Volumensteigerung pro Woche.</t>
  </si>
  <si>
    <t xml:space="preserve">Woche 3 · 24.–30.08.</t>
  </si>
  <si>
    <t xml:space="preserve">Höchstes Volumen des Blocks. Die Reise 28.–31.08. trifft nur Ruhetag und Wochenende — Sa und So brauchen ohnehin kein Equipment, es fällt nichts aus.</t>
  </si>
  <si>
    <t xml:space="preserve">Woche 4 · 31.08.–06.09.</t>
  </si>
  <si>
    <t xml:space="preserve">Bewusst leichter. Ziel ist Technik und Zahlen, nicht Belastung: erstes Gefühl für Ski, Row und Sled, plus die Benchmarks für Monat 2.</t>
  </si>
  <si>
    <t xml:space="preserve">Block 1 gesamt</t>
  </si>
  <si>
    <t xml:space="preserve">Rückenroutine abgehakt</t>
  </si>
  <si>
    <t xml:space="preserve">Zählt Tage mit unauffälligem Rücken (gut / leicht spürbar).</t>
  </si>
  <si>
    <t xml:space="preserve">Tage mit Schmerz</t>
  </si>
  <si>
    <t xml:space="preserve">Ab 2 Tagen: Belastung runter, ärztlich abklären lassen.</t>
  </si>
  <si>
    <t xml:space="preserve">Zeitbudget für 1:15</t>
  </si>
  <si>
    <t xml:space="preserve">Segment</t>
  </si>
  <si>
    <t xml:space="preserve">Budget</t>
  </si>
  <si>
    <t xml:space="preserve">Bedeutung</t>
  </si>
  <si>
    <t xml:space="preserve">8 Laufsplits (inkl. Roxzone)</t>
  </si>
  <si>
    <t xml:space="preserve">≈ 38:00</t>
  </si>
  <si>
    <t xml:space="preserve">ø 4:45/km — nach jeder Station</t>
  </si>
  <si>
    <t xml:space="preserve">8 Stationen</t>
  </si>
  <si>
    <t xml:space="preserve">≈ 32:00</t>
  </si>
  <si>
    <t xml:space="preserve">z.B. Ski 4:20 · Row 4:00 · Wall Balls 5:40</t>
  </si>
  <si>
    <t xml:space="preserve">Übergänge / Puffer</t>
  </si>
  <si>
    <t xml:space="preserve">≈ 5:00</t>
  </si>
  <si>
    <t xml:space="preserve">Realität</t>
  </si>
  <si>
    <t xml:space="preserve">So füllst du das aus</t>
  </si>
  <si>
    <t xml:space="preserve">• Nur die gelben Spalten H–L im Blatt „Log“ ausfüllen — alles andere ist Plan oder Formel.</t>
  </si>
  <si>
    <t xml:space="preserve">• Beispielzeile: Datum 12.08. · Ist km 7,4 · Erledigt „Ja“ · RPE 7 · Rücken „leicht spürbar“ · Notiz „3×6 min gehalten, letzter Block schwer, Pace 4:52“.</t>
  </si>
  <si>
    <t xml:space="preserve">• „Erledigt“ und „Rücken“ sind Auswahllisten, RPE akzeptiert 1–10.</t>
  </si>
  <si>
    <t xml:space="preserve">• Die Splits der Benchmark-Session am 05.09. gehören ins Blatt „Benchmark 05.09.“.</t>
  </si>
  <si>
    <t xml:space="preserve">• Alle Zahlen hier oben berechnen sich automatisch aus dem Log.</t>
  </si>
  <si>
    <t xml:space="preserve">Trainingslog — Block 1 (10.08.–06.09.2026)</t>
  </si>
  <si>
    <t xml:space="preserve">Gelbe Spalten H–L ausfüllen. Alles andere ist der Plan und enthält Formeln bzw. Sollwerte — bitte nicht überschreiben.</t>
  </si>
  <si>
    <t xml:space="preserve">Datum</t>
  </si>
  <si>
    <t xml:space="preserve">Tag</t>
  </si>
  <si>
    <t xml:space="preserve">Typ</t>
  </si>
  <si>
    <t xml:space="preserve">Einheit</t>
  </si>
  <si>
    <t xml:space="preserve">Soll min</t>
  </si>
  <si>
    <t xml:space="preserve">Erledigt</t>
  </si>
  <si>
    <t xml:space="preserve">RPE 1–10</t>
  </si>
  <si>
    <t xml:space="preserve">Rücken</t>
  </si>
  <si>
    <t xml:space="preserve">Notiz / Splits / Gewichte</t>
  </si>
  <si>
    <t xml:space="preserve">Mo</t>
  </si>
  <si>
    <t xml:space="preserve">Kraft B</t>
  </si>
  <si>
    <t xml:space="preserve">Kraft B — Zug &amp; Carries</t>
  </si>
  <si>
    <t xml:space="preserve">Di</t>
  </si>
  <si>
    <t xml:space="preserve">Easy Run</t>
  </si>
  <si>
    <t xml:space="preserve">Easy Run — 5 km</t>
  </si>
  <si>
    <t xml:space="preserve">Mi</t>
  </si>
  <si>
    <t xml:space="preserve">Laufqualität</t>
  </si>
  <si>
    <t xml:space="preserve">Threshold — 3 × 6 min</t>
  </si>
  <si>
    <t xml:space="preserve">Do</t>
  </si>
  <si>
    <t xml:space="preserve">Kraft A</t>
  </si>
  <si>
    <t xml:space="preserve">Kraft A — Beine &amp; Push</t>
  </si>
  <si>
    <t xml:space="preserve">Fr</t>
  </si>
  <si>
    <t xml:space="preserve">Ruhetag</t>
  </si>
  <si>
    <t xml:space="preserve">Sa</t>
  </si>
  <si>
    <t xml:space="preserve">Hyrox-Session</t>
  </si>
  <si>
    <t xml:space="preserve">Compromised — 4 Runden</t>
  </si>
  <si>
    <t xml:space="preserve">So</t>
  </si>
  <si>
    <t xml:space="preserve">Long Run</t>
  </si>
  <si>
    <t xml:space="preserve">Long Run — 10 km</t>
  </si>
  <si>
    <t xml:space="preserve">Easy Run — 7 km</t>
  </si>
  <si>
    <t xml:space="preserve">Intervalle — 6 × 3 min</t>
  </si>
  <si>
    <t xml:space="preserve">Compromised — 5 Runden</t>
  </si>
  <si>
    <t xml:space="preserve">Long Run — 12 km</t>
  </si>
  <si>
    <t xml:space="preserve">Easy Run — 8 km</t>
  </si>
  <si>
    <t xml:space="preserve">Threshold — 5 × 5 min</t>
  </si>
  <si>
    <t xml:space="preserve">Ruhetag / Anreise</t>
  </si>
  <si>
    <t xml:space="preserve">Compromised — 4 × 1000 m</t>
  </si>
  <si>
    <t xml:space="preserve">Long Run — 14 km</t>
  </si>
  <si>
    <t xml:space="preserve">Rückreise — optional 5 km locker</t>
  </si>
  <si>
    <t xml:space="preserve">Gym-Technik</t>
  </si>
  <si>
    <t xml:space="preserve">Gym 1 — Ski &amp; Row Technik</t>
  </si>
  <si>
    <t xml:space="preserve">Reps — 6 × 400 m</t>
  </si>
  <si>
    <t xml:space="preserve">Gym 2 — Sled &amp; Wall Balls</t>
  </si>
  <si>
    <t xml:space="preserve">Benchmark</t>
  </si>
  <si>
    <t xml:space="preserve">BENCHMARK — Mini-Simulation</t>
  </si>
  <si>
    <t xml:space="preserve">Long Run — 12 km locker</t>
  </si>
  <si>
    <t xml:space="preserve">Summe / Schnitt</t>
  </si>
  <si>
    <t xml:space="preserve">Benchmark-Session · Sa 05.09.2026</t>
  </si>
  <si>
    <t xml:space="preserve">Effort ca. 85 %, kein Maximaltest. Jeden Split sofort nach dem Abschnitt notieren. Format mm:ss. Die Referenzspalte ist das Renntempo für 1:15 — Abweichung ist erwartet und genau die Information, die Monat 2 steuert.</t>
  </si>
  <si>
    <t xml:space="preserve">#</t>
  </si>
  <si>
    <t xml:space="preserve">Abschnitt</t>
  </si>
  <si>
    <t xml:space="preserve">Referenz 1:15</t>
  </si>
  <si>
    <t xml:space="preserve">Ist (mm:ss)</t>
  </si>
  <si>
    <t xml:space="preserve">Notiz</t>
  </si>
  <si>
    <t xml:space="preserve">1000 m SkiErg</t>
  </si>
  <si>
    <t xml:space="preserve">4:20</t>
  </si>
  <si>
    <t xml:space="preserve">1000 m Lauf</t>
  </si>
  <si>
    <t xml:space="preserve">4:45</t>
  </si>
  <si>
    <t xml:space="preserve">500 m Row</t>
  </si>
  <si>
    <t xml:space="preserve">2:00</t>
  </si>
  <si>
    <t xml:space="preserve">40 m Burpee Broad Jumps</t>
  </si>
  <si>
    <t xml:space="preserve">2:10</t>
  </si>
  <si>
    <t xml:space="preserve">50 Wall Balls</t>
  </si>
  <si>
    <t xml:space="preserve">2:50</t>
  </si>
  <si>
    <t xml:space="preserve">Gesamtzeit</t>
  </si>
  <si>
    <t xml:space="preserve">30:20</t>
  </si>
  <si>
    <t xml:space="preserve">Zusatzangaben</t>
  </si>
  <si>
    <t xml:space="preserve">Max. Klimmzüge in einem Satz</t>
  </si>
  <si>
    <t xml:space="preserve">Sled Push — Gefühl / Gewicht</t>
  </si>
  <si>
    <t xml:space="preserve">Sled Pull — Gefühl / Rücken</t>
  </si>
  <si>
    <t xml:space="preserve">Ski: gefühlte Technik 1–5</t>
  </si>
  <si>
    <t xml:space="preserve">Row: gefühlte Technik 1–5</t>
  </si>
  <si>
    <t xml:space="preserve">Körpergewicht heute (kg)</t>
  </si>
  <si>
    <t xml:space="preserve">Referenz</t>
  </si>
  <si>
    <t xml:space="preserve">Trainingspaces (aus 5 km ≈ 22:30, VDOT ~43,5)</t>
  </si>
  <si>
    <t xml:space="preserve">Zone</t>
  </si>
  <si>
    <t xml:space="preserve">Pace /km</t>
  </si>
  <si>
    <t xml:space="preserve">Wofür</t>
  </si>
  <si>
    <t xml:space="preserve">Easy / Recovery</t>
  </si>
  <si>
    <t xml:space="preserve">6:00 – 6:20</t>
  </si>
  <si>
    <t xml:space="preserve">Alle Grundlagenläufe. Nasenatmung möglich, Gespräch problemlos.</t>
  </si>
  <si>
    <t xml:space="preserve">5:50 – 6:10</t>
  </si>
  <si>
    <t xml:space="preserve">Sonntag. Nur die letzten km optional schneller.</t>
  </si>
  <si>
    <t xml:space="preserve">Steady</t>
  </si>
  <si>
    <t xml:space="preserve">5:05 – 5:15</t>
  </si>
  <si>
    <t xml:space="preserve">Progressive Enden, Sled-Ersatz-Blöcke.</t>
  </si>
  <si>
    <t xml:space="preserve">Threshold (T)</t>
  </si>
  <si>
    <t xml:space="preserve">4:45 – 4:55</t>
  </si>
  <si>
    <t xml:space="preserve">Tempoblöcke 5–10 min. Komfortabel hart, ca. 1h-Renntempo.</t>
  </si>
  <si>
    <t xml:space="preserve">Interval (I)</t>
  </si>
  <si>
    <t xml:space="preserve">4:20 – 4:30</t>
  </si>
  <si>
    <t xml:space="preserve">3–5 min Intervalle. VO2max.</t>
  </si>
  <si>
    <t xml:space="preserve">Rep</t>
  </si>
  <si>
    <t xml:space="preserve">4:00 – 4:10</t>
  </si>
  <si>
    <t xml:space="preserve">400er. Nur zur Schärfung, wenig Volumen.</t>
  </si>
  <si>
    <t xml:space="preserve">Race-Pace-Vision</t>
  </si>
  <si>
    <t xml:space="preserve">4:40 – 4:50</t>
  </si>
  <si>
    <t xml:space="preserve">Zieltempo pro Laufsplit am 01.11. Kommt ab Monat 2.</t>
  </si>
  <si>
    <t xml:space="preserve">Stations-Substitute (August, ohne Gym)</t>
  </si>
  <si>
    <t xml:space="preserve">Station (Open)</t>
  </si>
  <si>
    <t xml:space="preserve">Ersatz bis 31.08.</t>
  </si>
  <si>
    <t xml:space="preserve">Hinweis</t>
  </si>
  <si>
    <t xml:space="preserve">Klimmzüge, DB-Rudern, Hang-Cleans</t>
  </si>
  <si>
    <t xml:space="preserve">Nicht ersetzbar. Ab 01.09. Technik-Priorität Nr. 1.</t>
  </si>
  <si>
    <t xml:space="preserve">50 m Sled Push (152 kg)</t>
  </si>
  <si>
    <t xml:space="preserve">Hügel steil bergauf, 30–40 s, starker Vorlehnen</t>
  </si>
  <si>
    <t xml:space="preserve">90 kg sind hier ein Vorteil. Kommt relativ schnell.</t>
  </si>
  <si>
    <t xml:space="preserve">50 m Sled Pull (103 kg)</t>
  </si>
  <si>
    <t xml:space="preserve">Klimmzüge + einarmiges Rudern</t>
  </si>
  <si>
    <t xml:space="preserve">Technisch anspruchsvollste Station. Rücken beachten.</t>
  </si>
  <si>
    <t xml:space="preserve">80 m Burpee Broad Jumps</t>
  </si>
  <si>
    <t xml:space="preserve">1:1 möglich — jeden Samstag draußen</t>
  </si>
  <si>
    <t xml:space="preserve">Bei 193 cm teuer. Deshalb ab Woche 1 dabei.</t>
  </si>
  <si>
    <t xml:space="preserve">1000 m Row</t>
  </si>
  <si>
    <t xml:space="preserve">—</t>
  </si>
  <si>
    <t xml:space="preserve">Nicht ersetzbar. Ab 01.09.</t>
  </si>
  <si>
    <t xml:space="preserve">200 m Farmers Carry (2×24 kg)</t>
  </si>
  <si>
    <t xml:space="preserve">1:1 mit 2×20 kg, dafür längere Distanz</t>
  </si>
  <si>
    <t xml:space="preserve">Griffkraft ist der Limiter.</t>
  </si>
  <si>
    <t xml:space="preserve">100 m Sandbag Lunges (20 kg)</t>
  </si>
  <si>
    <t xml:space="preserve">Rucksack mit 15–20 kg, Walking Lunges</t>
  </si>
  <si>
    <t xml:space="preserve">Rucksack &gt; Hanteln, weil die Last oben liegt.</t>
  </si>
  <si>
    <t xml:space="preserve">100 Wall Balls (6 kg, 3,05 m)</t>
  </si>
  <si>
    <t xml:space="preserve">DB Thruster 2×8–10 kg, hohe Reps</t>
  </si>
  <si>
    <t xml:space="preserve">Deine leichteste Station — 250 cm Reichhöhe.</t>
  </si>
  <si>
    <t xml:space="preserve">Kraft A — Beine &amp; Push (Do)</t>
  </si>
  <si>
    <t xml:space="preserve">Übung / Vorgabe</t>
  </si>
  <si>
    <t xml:space="preserve">Warmup 8 min: Beinpendel, 90/90-Hüfte, 15 Glute Bridges, 10 Bodyweight-Lunges/Seite, Sprunggelenk-Mobility</t>
  </si>
  <si>
    <t xml:space="preserve">DB Front-Rack Squat — W1 3×10 RPE6 · W2 4×10 · W3 4×8</t>
  </si>
  <si>
    <t xml:space="preserve">Bulgarian Split Squat — 3 × 10/Seite, W1 Körpergewicht · W2 2×10–12 kg · W3 2×12–14 kg</t>
  </si>
  <si>
    <t xml:space="preserve">Rumänisches Kreuzheben (RDL) — 3 × 10 leicht. Rücken neutral, Form vor Gewicht</t>
  </si>
  <si>
    <t xml:space="preserve">DB Thruster — W1 3×12 · W2 3×15 · W3 4×15  (dein Wall-Ball-Ersatz: leicht, flüssig, viele Reps)</t>
  </si>
  <si>
    <t xml:space="preserve">DB Schulterdrücken oder Push-ups — 3 × 10–12</t>
  </si>
  <si>
    <t xml:space="preserve">Step-ups auf Bank/Stufe mit Hanteln — 3 × 12/Seite</t>
  </si>
  <si>
    <t xml:space="preserve">Dead Bug 3 × 10/Seite + Side Plank 3 × 35 s/Seite</t>
  </si>
  <si>
    <t xml:space="preserve">Kraft B — Zug, Carries &amp; Rumpf (Mo)</t>
  </si>
  <si>
    <t xml:space="preserve">Warmup 8 min: Schulterkreisen, Pull-aparts, Scapula-Hangs an der Stange, Cat-Cow</t>
  </si>
  <si>
    <t xml:space="preserve">Klimmzüge — 4 × 5–8 (oder Negative). Submaximal, nie bis zum Versagen</t>
  </si>
  <si>
    <t xml:space="preserve">Einarmiges DB-Rudern — 4 × 10/Seite, abgestützt</t>
  </si>
  <si>
    <t xml:space="preserve">Farmers Carry — W1 4×60 m @2×15 kg · W2 4×80 m @2×20 kg · W3 4×100 m unbroken</t>
  </si>
  <si>
    <t xml:space="preserve">Suitcase Carry (einseitig) — 3 × 40 m/Seite. Bestes Anti-Seitneige-Training für deinen Rücken</t>
  </si>
  <si>
    <t xml:space="preserve">DB Hang Clean &amp; Press — 4 × 8/Seite</t>
  </si>
  <si>
    <t xml:space="preserve">Hollow Hold 3 × 30 s + Bird Dog 3 × 8/Seite</t>
  </si>
  <si>
    <t xml:space="preserve">Finisher: 3 Runden 10 Burpees + 20 Mountain Climbers + 30 s Plank</t>
  </si>
  <si>
    <t xml:space="preserve">Rückenroutine — 8 min, täglich</t>
  </si>
  <si>
    <t xml:space="preserve">Übung</t>
  </si>
  <si>
    <t xml:space="preserve">Curl-up (McGill) — 3 × 8 s halten pro Seite, Hände unter der Lende</t>
  </si>
  <si>
    <t xml:space="preserve">Side Plank — 3 × 25–40 s pro Seite</t>
  </si>
  <si>
    <t xml:space="preserve">Bird Dog — 3 × 8 pro Seite, langsam, kein Ausweichen im Becken</t>
  </si>
  <si>
    <t xml:space="preserve">Glute Bridge — 2 × 15, oben 2 s halten</t>
  </si>
  <si>
    <t xml:space="preserve">Hüftbeuger-Stretch (halb kniend) — 2 × 45 s pro Seite</t>
  </si>
  <si>
    <t xml:space="preserve">90/90 Hüftrotation — 8 Wechsel pro Seite</t>
  </si>
  <si>
    <t xml:space="preserve">Abbruchkriterien</t>
  </si>
  <si>
    <t xml:space="preserve">Schmerz der ins Bein zieht, Taubheit/Kribbeln, oder Morgensteifigkeit über 30 min → Einheit streichen und ärztlich abklären lassen.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</si>
</sst>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.0%"/>
    <numFmt numFmtId="168" formatCode="General"/>
    <numFmt numFmtId="169" formatCode="dd\.mm\.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348"/>
      <name val="Arial"/>
      <family val="0"/>
      <charset val="1"/>
    </font>
    <font>
      <sz val="9"/>
      <color rgb="FF5A647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34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348"/>
        <bgColor rgb="FF003366"/>
      </patternFill>
    </fill>
    <fill>
      <patternFill patternType="solid">
        <fgColor rgb="FFE8F1FB"/>
        <bgColor rgb="FFF2F4F7"/>
      </patternFill>
    </fill>
    <fill>
      <patternFill patternType="solid">
        <fgColor rgb="FFFFF6DA"/>
        <bgColor rgb="FFF2F4F7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E8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C"/>
      </left>
      <right style="thin">
        <color rgb="FFC9D1DC"/>
      </right>
      <top style="thin">
        <color rgb="FFC9D1DC"/>
      </top>
      <bottom style="thin">
        <color rgb="FFC9D1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348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A"/>
      <rgbColor rgb="FFE8F1FB"/>
      <rgbColor rgb="FF660066"/>
      <rgbColor rgb="FFFF8080"/>
      <rgbColor rgb="FF0066CC"/>
      <rgbColor rgb="FFC9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3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3"/>
    <col collapsed="false" customWidth="true" hidden="false" outlineLevel="0" max="7" min="7" style="0" width="3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45.75" hidden="false" customHeight="true" outlineLevel="0" collapsed="false">
      <c r="A6" s="5" t="s">
        <v>10</v>
      </c>
      <c r="B6" s="6" t="n">
        <f aca="false">COUNTIFS(Log!$C$5:$C$32,1,Log!$D$5:$D$32,"&lt;&gt;Ruhetag")</f>
        <v>6</v>
      </c>
      <c r="C6" s="6" t="n">
        <f aca="false">COUNTIFS(Log!$C$5:$C$32,1,Log!$I$5:$I$32,"Ja")</f>
        <v>0</v>
      </c>
      <c r="D6" s="7" t="n">
        <f aca="false">SUMIFS(Log!$G$5:$G$32,Log!$C$5:$C$32,1)</f>
        <v>28.6</v>
      </c>
      <c r="E6" s="7" t="n">
        <f aca="false">SUMIFS(Log!$H$5:$H$32,Log!$C$5:$C$32,1)</f>
        <v>0</v>
      </c>
      <c r="F6" s="8" t="n">
        <f aca="false">IFERROR($E6/$D6,"")</f>
        <v>0</v>
      </c>
      <c r="G6" s="9" t="s">
        <v>11</v>
      </c>
    </row>
    <row r="7" customFormat="false" ht="45.75" hidden="false" customHeight="true" outlineLevel="0" collapsed="false">
      <c r="A7" s="5" t="s">
        <v>12</v>
      </c>
      <c r="B7" s="6" t="n">
        <f aca="false">COUNTIFS(Log!$C$5:$C$32,2,Log!$D$5:$D$32,"&lt;&gt;Ruhetag")</f>
        <v>6</v>
      </c>
      <c r="C7" s="6" t="n">
        <f aca="false">COUNTIFS(Log!$C$5:$C$32,2,Log!$I$5:$I$32,"Ja")</f>
        <v>0</v>
      </c>
      <c r="D7" s="7" t="n">
        <f aca="false">SUMIFS(Log!$G$5:$G$32,Log!$C$5:$C$32,2)</f>
        <v>35.4</v>
      </c>
      <c r="E7" s="7" t="n">
        <f aca="false">SUMIFS(Log!$H$5:$H$32,Log!$C$5:$C$32,2)</f>
        <v>0</v>
      </c>
      <c r="F7" s="8" t="n">
        <f aca="false">IFERROR($E7/$D7,"")</f>
        <v>0</v>
      </c>
      <c r="G7" s="9" t="s">
        <v>13</v>
      </c>
    </row>
    <row r="8" customFormat="false" ht="45.75" hidden="false" customHeight="true" outlineLevel="0" collapsed="false">
      <c r="A8" s="5" t="s">
        <v>14</v>
      </c>
      <c r="B8" s="6" t="n">
        <f aca="false">COUNTIFS(Log!$C$5:$C$32,3,Log!$D$5:$D$32,"&lt;&gt;Ruhetag")</f>
        <v>6</v>
      </c>
      <c r="C8" s="6" t="n">
        <f aca="false">COUNTIFS(Log!$C$5:$C$32,3,Log!$I$5:$I$32,"Ja")</f>
        <v>0</v>
      </c>
      <c r="D8" s="7" t="n">
        <f aca="false">SUMIFS(Log!$G$5:$G$32,Log!$C$5:$C$32,3)</f>
        <v>40.4</v>
      </c>
      <c r="E8" s="7" t="n">
        <f aca="false">SUMIFS(Log!$H$5:$H$32,Log!$C$5:$C$32,3)</f>
        <v>0</v>
      </c>
      <c r="F8" s="8" t="n">
        <f aca="false">IFERROR($E8/$D8,"")</f>
        <v>0</v>
      </c>
      <c r="G8" s="9" t="s">
        <v>15</v>
      </c>
    </row>
    <row r="9" customFormat="false" ht="45.75" hidden="false" customHeight="true" outlineLevel="0" collapsed="false">
      <c r="A9" s="5" t="s">
        <v>16</v>
      </c>
      <c r="B9" s="6" t="n">
        <f aca="false">COUNTIFS(Log!$C$5:$C$32,4,Log!$D$5:$D$32,"&lt;&gt;Ruhetag")</f>
        <v>5</v>
      </c>
      <c r="C9" s="6" t="n">
        <f aca="false">COUNTIFS(Log!$C$5:$C$32,4,Log!$I$5:$I$32,"Ja")</f>
        <v>0</v>
      </c>
      <c r="D9" s="7" t="n">
        <f aca="false">SUMIFS(Log!$G$5:$G$32,Log!$C$5:$C$32,4)</f>
        <v>26.5</v>
      </c>
      <c r="E9" s="7" t="n">
        <f aca="false">SUMIFS(Log!$H$5:$H$32,Log!$C$5:$C$32,4)</f>
        <v>0</v>
      </c>
      <c r="F9" s="8" t="n">
        <f aca="false">IFERROR($E9/$D9,"")</f>
        <v>0</v>
      </c>
      <c r="G9" s="9" t="s">
        <v>17</v>
      </c>
    </row>
    <row r="10" customFormat="false" ht="15" hidden="false" customHeight="false" outlineLevel="0" collapsed="false">
      <c r="A10" s="3" t="s">
        <v>18</v>
      </c>
      <c r="B10" s="10" t="n">
        <f aca="false">SUM(B6:B9)</f>
        <v>23</v>
      </c>
      <c r="C10" s="10" t="n">
        <f aca="false">SUM(C6:C9)</f>
        <v>0</v>
      </c>
      <c r="D10" s="11" t="n">
        <f aca="false">SUM(D6:D9)</f>
        <v>130.9</v>
      </c>
      <c r="E10" s="11" t="n">
        <f aca="false">SUM(E6:E9)</f>
        <v>0</v>
      </c>
      <c r="F10" s="12" t="n">
        <f aca="false">IFERROR(E10/D10,"")</f>
        <v>0</v>
      </c>
    </row>
    <row r="12" customFormat="false" ht="15" hidden="false" customHeight="false" outlineLevel="0" collapsed="false">
      <c r="A12" s="3" t="s">
        <v>19</v>
      </c>
      <c r="B12" s="13" t="n">
        <f aca="false">COUNTIF(Log!$K$5:$K$32,"gut")+COUNTIF(Log!$K$5:$K$32,"leicht spürbar")</f>
        <v>0</v>
      </c>
      <c r="G12" s="2" t="s">
        <v>20</v>
      </c>
    </row>
    <row r="13" customFormat="false" ht="15" hidden="false" customHeight="false" outlineLevel="0" collapsed="false">
      <c r="A13" s="3" t="s">
        <v>21</v>
      </c>
      <c r="B13" s="13" t="n">
        <f aca="false">COUNTIF(Log!$K$5:$K$32,"Schmerz")</f>
        <v>0</v>
      </c>
      <c r="G13" s="2" t="s">
        <v>22</v>
      </c>
    </row>
    <row r="15" customFormat="false" ht="15" hidden="false" customHeight="false" outlineLevel="0" collapsed="false">
      <c r="A15" s="3" t="s">
        <v>23</v>
      </c>
    </row>
    <row r="16" customFormat="false" ht="27.75" hidden="false" customHeight="true" outlineLevel="0" collapsed="false">
      <c r="A16" s="4" t="s">
        <v>24</v>
      </c>
      <c r="B16" s="4" t="s">
        <v>25</v>
      </c>
      <c r="C16" s="4"/>
      <c r="D16" s="4"/>
      <c r="E16" s="4"/>
      <c r="F16" s="4"/>
      <c r="G16" s="4" t="s">
        <v>26</v>
      </c>
    </row>
    <row r="17" customFormat="false" ht="15" hidden="false" customHeight="false" outlineLevel="0" collapsed="false">
      <c r="A17" s="5" t="s">
        <v>27</v>
      </c>
      <c r="B17" s="5" t="s">
        <v>28</v>
      </c>
      <c r="G17" s="2" t="s">
        <v>29</v>
      </c>
    </row>
    <row r="18" customFormat="false" ht="15" hidden="false" customHeight="false" outlineLevel="0" collapsed="false">
      <c r="A18" s="5" t="s">
        <v>30</v>
      </c>
      <c r="B18" s="5" t="s">
        <v>31</v>
      </c>
      <c r="G18" s="2" t="s">
        <v>32</v>
      </c>
    </row>
    <row r="19" customFormat="false" ht="15" hidden="false" customHeight="false" outlineLevel="0" collapsed="false">
      <c r="A19" s="5" t="s">
        <v>33</v>
      </c>
      <c r="B19" s="5" t="s">
        <v>34</v>
      </c>
      <c r="G19" s="2" t="s">
        <v>35</v>
      </c>
    </row>
    <row r="21" customFormat="false" ht="15" hidden="false" customHeight="false" outlineLevel="0" collapsed="false">
      <c r="A21" s="14" t="s">
        <v>36</v>
      </c>
    </row>
    <row r="22" customFormat="false" ht="25.5" hidden="false" customHeight="true" outlineLevel="0" collapsed="false">
      <c r="A22" s="15" t="s">
        <v>37</v>
      </c>
      <c r="B22" s="15"/>
      <c r="C22" s="15"/>
      <c r="D22" s="15"/>
      <c r="E22" s="15"/>
      <c r="F22" s="15"/>
      <c r="G22" s="15"/>
    </row>
    <row r="23" customFormat="false" ht="25.5" hidden="false" customHeight="true" outlineLevel="0" collapsed="false">
      <c r="A23" s="15" t="s">
        <v>38</v>
      </c>
      <c r="B23" s="15"/>
      <c r="C23" s="15"/>
      <c r="D23" s="15"/>
      <c r="E23" s="15"/>
      <c r="F23" s="15"/>
      <c r="G23" s="15"/>
    </row>
    <row r="24" customFormat="false" ht="25.5" hidden="false" customHeight="true" outlineLevel="0" collapsed="false">
      <c r="A24" s="15" t="s">
        <v>39</v>
      </c>
      <c r="B24" s="15"/>
      <c r="C24" s="15"/>
      <c r="D24" s="15"/>
      <c r="E24" s="15"/>
      <c r="F24" s="15"/>
      <c r="G24" s="15"/>
    </row>
    <row r="25" customFormat="false" ht="25.5" hidden="false" customHeight="true" outlineLevel="0" collapsed="false">
      <c r="A25" s="15" t="s">
        <v>40</v>
      </c>
      <c r="B25" s="15"/>
      <c r="C25" s="15"/>
      <c r="D25" s="15"/>
      <c r="E25" s="15"/>
      <c r="F25" s="15"/>
      <c r="G25" s="15"/>
    </row>
    <row r="26" customFormat="false" ht="25.5" hidden="false" customHeight="true" outlineLevel="0" collapsed="false">
      <c r="A26" s="15" t="s">
        <v>41</v>
      </c>
      <c r="B26" s="15"/>
      <c r="C26" s="15"/>
      <c r="D26" s="15"/>
      <c r="E26" s="15"/>
      <c r="F26" s="15"/>
      <c r="G26" s="15"/>
    </row>
  </sheetData>
  <mergeCells count="5">
    <mergeCell ref="A22:G22"/>
    <mergeCell ref="A23:G23"/>
    <mergeCell ref="A24:G24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.51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30"/>
    <col collapsed="false" customWidth="true" hidden="false" outlineLevel="0" max="8" min="6" style="0" width="8.5"/>
    <col collapsed="false" customWidth="true" hidden="false" outlineLevel="0" max="10" min="9" style="0" width="9.51"/>
    <col collapsed="false" customWidth="true" hidden="false" outlineLevel="0" max="11" min="11" style="0" width="14"/>
    <col collapsed="false" customWidth="true" hidden="false" outlineLevel="0" max="12" min="12" style="0" width="52"/>
  </cols>
  <sheetData>
    <row r="1" customFormat="false" ht="17.35" hidden="false" customHeight="false" outlineLevel="0" collapsed="false">
      <c r="A1" s="16" t="s">
        <v>42</v>
      </c>
    </row>
    <row r="2" customFormat="false" ht="15" hidden="false" customHeight="false" outlineLevel="0" collapsed="false">
      <c r="A2" s="2" t="s">
        <v>43</v>
      </c>
    </row>
    <row r="4" customFormat="false" ht="27.75" hidden="false" customHeight="true" outlineLevel="0" collapsed="false">
      <c r="A4" s="4" t="s">
        <v>44</v>
      </c>
      <c r="B4" s="4" t="s">
        <v>45</v>
      </c>
      <c r="C4" s="4" t="s">
        <v>3</v>
      </c>
      <c r="D4" s="4" t="s">
        <v>46</v>
      </c>
      <c r="E4" s="4" t="s">
        <v>47</v>
      </c>
      <c r="F4" s="4" t="s">
        <v>48</v>
      </c>
      <c r="G4" s="4" t="s">
        <v>6</v>
      </c>
      <c r="H4" s="4" t="s">
        <v>7</v>
      </c>
      <c r="I4" s="4" t="s">
        <v>49</v>
      </c>
      <c r="J4" s="4" t="s">
        <v>50</v>
      </c>
      <c r="K4" s="4" t="s">
        <v>51</v>
      </c>
      <c r="L4" s="4" t="s">
        <v>52</v>
      </c>
    </row>
    <row r="5" customFormat="false" ht="16.5" hidden="false" customHeight="true" outlineLevel="0" collapsed="false">
      <c r="A5" s="17" t="n">
        <v>46244</v>
      </c>
      <c r="B5" s="18" t="s">
        <v>53</v>
      </c>
      <c r="C5" s="18" t="n">
        <v>1</v>
      </c>
      <c r="D5" s="18" t="s">
        <v>54</v>
      </c>
      <c r="E5" s="18" t="s">
        <v>55</v>
      </c>
      <c r="F5" s="18" t="n">
        <v>65</v>
      </c>
      <c r="G5" s="19" t="n">
        <v>0</v>
      </c>
      <c r="H5" s="20"/>
      <c r="I5" s="21"/>
      <c r="J5" s="21"/>
      <c r="K5" s="21"/>
      <c r="L5" s="22"/>
    </row>
    <row r="6" customFormat="false" ht="16.5" hidden="false" customHeight="true" outlineLevel="0" collapsed="false">
      <c r="A6" s="17" t="n">
        <v>46245</v>
      </c>
      <c r="B6" s="18" t="s">
        <v>56</v>
      </c>
      <c r="C6" s="18" t="n">
        <v>1</v>
      </c>
      <c r="D6" s="18" t="s">
        <v>57</v>
      </c>
      <c r="E6" s="18" t="s">
        <v>58</v>
      </c>
      <c r="F6" s="18" t="n">
        <v>45</v>
      </c>
      <c r="G6" s="19" t="n">
        <v>5</v>
      </c>
      <c r="H6" s="20"/>
      <c r="I6" s="21"/>
      <c r="J6" s="21"/>
      <c r="K6" s="21"/>
      <c r="L6" s="22"/>
    </row>
    <row r="7" customFormat="false" ht="16.5" hidden="false" customHeight="true" outlineLevel="0" collapsed="false">
      <c r="A7" s="17" t="n">
        <v>46246</v>
      </c>
      <c r="B7" s="18" t="s">
        <v>59</v>
      </c>
      <c r="C7" s="18" t="n">
        <v>1</v>
      </c>
      <c r="D7" s="18" t="s">
        <v>60</v>
      </c>
      <c r="E7" s="18" t="s">
        <v>61</v>
      </c>
      <c r="F7" s="18" t="n">
        <v>55</v>
      </c>
      <c r="G7" s="19" t="n">
        <v>7</v>
      </c>
      <c r="H7" s="20"/>
      <c r="I7" s="21"/>
      <c r="J7" s="21"/>
      <c r="K7" s="21"/>
      <c r="L7" s="22"/>
    </row>
    <row r="8" customFormat="false" ht="16.5" hidden="false" customHeight="true" outlineLevel="0" collapsed="false">
      <c r="A8" s="17" t="n">
        <v>46247</v>
      </c>
      <c r="B8" s="18" t="s">
        <v>62</v>
      </c>
      <c r="C8" s="18" t="n">
        <v>1</v>
      </c>
      <c r="D8" s="18" t="s">
        <v>63</v>
      </c>
      <c r="E8" s="18" t="s">
        <v>64</v>
      </c>
      <c r="F8" s="18" t="n">
        <v>70</v>
      </c>
      <c r="G8" s="19" t="n">
        <v>0</v>
      </c>
      <c r="H8" s="20"/>
      <c r="I8" s="21"/>
      <c r="J8" s="21"/>
      <c r="K8" s="21"/>
      <c r="L8" s="22"/>
    </row>
    <row r="9" customFormat="false" ht="16.5" hidden="false" customHeight="true" outlineLevel="0" collapsed="false">
      <c r="A9" s="23" t="n">
        <v>46248</v>
      </c>
      <c r="B9" s="24" t="s">
        <v>65</v>
      </c>
      <c r="C9" s="24" t="n">
        <v>1</v>
      </c>
      <c r="D9" s="24" t="s">
        <v>66</v>
      </c>
      <c r="E9" s="24" t="s">
        <v>66</v>
      </c>
      <c r="F9" s="24" t="n">
        <v>0</v>
      </c>
      <c r="G9" s="25" t="n">
        <v>0</v>
      </c>
      <c r="H9" s="20"/>
      <c r="I9" s="21"/>
      <c r="J9" s="21"/>
      <c r="K9" s="21"/>
      <c r="L9" s="22"/>
    </row>
    <row r="10" customFormat="false" ht="16.5" hidden="false" customHeight="true" outlineLevel="0" collapsed="false">
      <c r="A10" s="17" t="n">
        <v>46249</v>
      </c>
      <c r="B10" s="18" t="s">
        <v>67</v>
      </c>
      <c r="C10" s="18" t="n">
        <v>1</v>
      </c>
      <c r="D10" s="18" t="s">
        <v>68</v>
      </c>
      <c r="E10" s="18" t="s">
        <v>69</v>
      </c>
      <c r="F10" s="18" t="n">
        <v>60</v>
      </c>
      <c r="G10" s="19" t="n">
        <v>6.6</v>
      </c>
      <c r="H10" s="20"/>
      <c r="I10" s="21"/>
      <c r="J10" s="21"/>
      <c r="K10" s="21"/>
      <c r="L10" s="22"/>
    </row>
    <row r="11" customFormat="false" ht="16.5" hidden="false" customHeight="true" outlineLevel="0" collapsed="false">
      <c r="A11" s="17" t="n">
        <v>46250</v>
      </c>
      <c r="B11" s="18" t="s">
        <v>70</v>
      </c>
      <c r="C11" s="18" t="n">
        <v>1</v>
      </c>
      <c r="D11" s="18" t="s">
        <v>71</v>
      </c>
      <c r="E11" s="18" t="s">
        <v>72</v>
      </c>
      <c r="F11" s="18" t="n">
        <v>70</v>
      </c>
      <c r="G11" s="19" t="n">
        <v>10</v>
      </c>
      <c r="H11" s="20"/>
      <c r="I11" s="21"/>
      <c r="J11" s="21"/>
      <c r="K11" s="21"/>
      <c r="L11" s="22"/>
    </row>
    <row r="12" customFormat="false" ht="16.5" hidden="false" customHeight="true" outlineLevel="0" collapsed="false">
      <c r="A12" s="17" t="n">
        <v>46251</v>
      </c>
      <c r="B12" s="18" t="s">
        <v>53</v>
      </c>
      <c r="C12" s="18" t="n">
        <v>2</v>
      </c>
      <c r="D12" s="18" t="s">
        <v>54</v>
      </c>
      <c r="E12" s="18" t="s">
        <v>55</v>
      </c>
      <c r="F12" s="18" t="n">
        <v>65</v>
      </c>
      <c r="G12" s="19" t="n">
        <v>0</v>
      </c>
      <c r="H12" s="20"/>
      <c r="I12" s="21"/>
      <c r="J12" s="21"/>
      <c r="K12" s="21"/>
      <c r="L12" s="22"/>
    </row>
    <row r="13" customFormat="false" ht="16.5" hidden="false" customHeight="true" outlineLevel="0" collapsed="false">
      <c r="A13" s="17" t="n">
        <v>46252</v>
      </c>
      <c r="B13" s="18" t="s">
        <v>56</v>
      </c>
      <c r="C13" s="18" t="n">
        <v>2</v>
      </c>
      <c r="D13" s="18" t="s">
        <v>57</v>
      </c>
      <c r="E13" s="18" t="s">
        <v>73</v>
      </c>
      <c r="F13" s="18" t="n">
        <v>48</v>
      </c>
      <c r="G13" s="19" t="n">
        <v>7</v>
      </c>
      <c r="H13" s="20"/>
      <c r="I13" s="21"/>
      <c r="J13" s="21"/>
      <c r="K13" s="21"/>
      <c r="L13" s="22"/>
    </row>
    <row r="14" customFormat="false" ht="16.5" hidden="false" customHeight="true" outlineLevel="0" collapsed="false">
      <c r="A14" s="17" t="n">
        <v>46253</v>
      </c>
      <c r="B14" s="18" t="s">
        <v>59</v>
      </c>
      <c r="C14" s="18" t="n">
        <v>2</v>
      </c>
      <c r="D14" s="18" t="s">
        <v>60</v>
      </c>
      <c r="E14" s="18" t="s">
        <v>74</v>
      </c>
      <c r="F14" s="18" t="n">
        <v>60</v>
      </c>
      <c r="G14" s="19" t="n">
        <v>9</v>
      </c>
      <c r="H14" s="20"/>
      <c r="I14" s="21"/>
      <c r="J14" s="21"/>
      <c r="K14" s="21"/>
      <c r="L14" s="22"/>
    </row>
    <row r="15" customFormat="false" ht="16.5" hidden="false" customHeight="true" outlineLevel="0" collapsed="false">
      <c r="A15" s="17" t="n">
        <v>46254</v>
      </c>
      <c r="B15" s="18" t="s">
        <v>62</v>
      </c>
      <c r="C15" s="18" t="n">
        <v>2</v>
      </c>
      <c r="D15" s="18" t="s">
        <v>63</v>
      </c>
      <c r="E15" s="18" t="s">
        <v>64</v>
      </c>
      <c r="F15" s="18" t="n">
        <v>70</v>
      </c>
      <c r="G15" s="19" t="n">
        <v>0</v>
      </c>
      <c r="H15" s="20"/>
      <c r="I15" s="21"/>
      <c r="J15" s="21"/>
      <c r="K15" s="21"/>
      <c r="L15" s="22"/>
    </row>
    <row r="16" customFormat="false" ht="16.5" hidden="false" customHeight="true" outlineLevel="0" collapsed="false">
      <c r="A16" s="23" t="n">
        <v>46255</v>
      </c>
      <c r="B16" s="24" t="s">
        <v>65</v>
      </c>
      <c r="C16" s="24" t="n">
        <v>2</v>
      </c>
      <c r="D16" s="24" t="s">
        <v>66</v>
      </c>
      <c r="E16" s="24" t="s">
        <v>66</v>
      </c>
      <c r="F16" s="24" t="n">
        <v>0</v>
      </c>
      <c r="G16" s="25" t="n">
        <v>0</v>
      </c>
      <c r="H16" s="20"/>
      <c r="I16" s="21"/>
      <c r="J16" s="21"/>
      <c r="K16" s="21"/>
      <c r="L16" s="22"/>
    </row>
    <row r="17" customFormat="false" ht="16.5" hidden="false" customHeight="true" outlineLevel="0" collapsed="false">
      <c r="A17" s="17" t="n">
        <v>46256</v>
      </c>
      <c r="B17" s="18" t="s">
        <v>67</v>
      </c>
      <c r="C17" s="18" t="n">
        <v>2</v>
      </c>
      <c r="D17" s="18" t="s">
        <v>68</v>
      </c>
      <c r="E17" s="18" t="s">
        <v>75</v>
      </c>
      <c r="F17" s="18" t="n">
        <v>75</v>
      </c>
      <c r="G17" s="19" t="n">
        <v>7.4</v>
      </c>
      <c r="H17" s="20"/>
      <c r="I17" s="21"/>
      <c r="J17" s="21"/>
      <c r="K17" s="21"/>
      <c r="L17" s="22"/>
    </row>
    <row r="18" customFormat="false" ht="16.5" hidden="false" customHeight="true" outlineLevel="0" collapsed="false">
      <c r="A18" s="17" t="n">
        <v>46257</v>
      </c>
      <c r="B18" s="18" t="s">
        <v>70</v>
      </c>
      <c r="C18" s="18" t="n">
        <v>2</v>
      </c>
      <c r="D18" s="18" t="s">
        <v>71</v>
      </c>
      <c r="E18" s="18" t="s">
        <v>76</v>
      </c>
      <c r="F18" s="18" t="n">
        <v>80</v>
      </c>
      <c r="G18" s="19" t="n">
        <v>12</v>
      </c>
      <c r="H18" s="20"/>
      <c r="I18" s="21"/>
      <c r="J18" s="21"/>
      <c r="K18" s="21"/>
      <c r="L18" s="22"/>
    </row>
    <row r="19" customFormat="false" ht="16.5" hidden="false" customHeight="true" outlineLevel="0" collapsed="false">
      <c r="A19" s="17" t="n">
        <v>46258</v>
      </c>
      <c r="B19" s="18" t="s">
        <v>53</v>
      </c>
      <c r="C19" s="18" t="n">
        <v>3</v>
      </c>
      <c r="D19" s="18" t="s">
        <v>54</v>
      </c>
      <c r="E19" s="18" t="s">
        <v>55</v>
      </c>
      <c r="F19" s="18" t="n">
        <v>65</v>
      </c>
      <c r="G19" s="19" t="n">
        <v>0</v>
      </c>
      <c r="H19" s="20"/>
      <c r="I19" s="21"/>
      <c r="J19" s="21"/>
      <c r="K19" s="21"/>
      <c r="L19" s="22"/>
    </row>
    <row r="20" customFormat="false" ht="16.5" hidden="false" customHeight="true" outlineLevel="0" collapsed="false">
      <c r="A20" s="17" t="n">
        <v>46259</v>
      </c>
      <c r="B20" s="18" t="s">
        <v>56</v>
      </c>
      <c r="C20" s="18" t="n">
        <v>3</v>
      </c>
      <c r="D20" s="18" t="s">
        <v>57</v>
      </c>
      <c r="E20" s="18" t="s">
        <v>77</v>
      </c>
      <c r="F20" s="18" t="n">
        <v>52</v>
      </c>
      <c r="G20" s="19" t="n">
        <v>8</v>
      </c>
      <c r="H20" s="20"/>
      <c r="I20" s="21"/>
      <c r="J20" s="21"/>
      <c r="K20" s="21"/>
      <c r="L20" s="22"/>
    </row>
    <row r="21" customFormat="false" ht="16.5" hidden="false" customHeight="true" outlineLevel="0" collapsed="false">
      <c r="A21" s="17" t="n">
        <v>46260</v>
      </c>
      <c r="B21" s="18" t="s">
        <v>59</v>
      </c>
      <c r="C21" s="18" t="n">
        <v>3</v>
      </c>
      <c r="D21" s="18" t="s">
        <v>60</v>
      </c>
      <c r="E21" s="18" t="s">
        <v>78</v>
      </c>
      <c r="F21" s="18" t="n">
        <v>65</v>
      </c>
      <c r="G21" s="19" t="n">
        <v>11</v>
      </c>
      <c r="H21" s="20"/>
      <c r="I21" s="21"/>
      <c r="J21" s="21"/>
      <c r="K21" s="21"/>
      <c r="L21" s="22"/>
    </row>
    <row r="22" customFormat="false" ht="16.5" hidden="false" customHeight="true" outlineLevel="0" collapsed="false">
      <c r="A22" s="17" t="n">
        <v>46261</v>
      </c>
      <c r="B22" s="18" t="s">
        <v>62</v>
      </c>
      <c r="C22" s="18" t="n">
        <v>3</v>
      </c>
      <c r="D22" s="18" t="s">
        <v>63</v>
      </c>
      <c r="E22" s="18" t="s">
        <v>64</v>
      </c>
      <c r="F22" s="18" t="n">
        <v>70</v>
      </c>
      <c r="G22" s="19" t="n">
        <v>0</v>
      </c>
      <c r="H22" s="20"/>
      <c r="I22" s="21"/>
      <c r="J22" s="21"/>
      <c r="K22" s="21"/>
      <c r="L22" s="22"/>
    </row>
    <row r="23" customFormat="false" ht="16.5" hidden="false" customHeight="true" outlineLevel="0" collapsed="false">
      <c r="A23" s="23" t="n">
        <v>46262</v>
      </c>
      <c r="B23" s="24" t="s">
        <v>65</v>
      </c>
      <c r="C23" s="24" t="n">
        <v>3</v>
      </c>
      <c r="D23" s="24" t="s">
        <v>66</v>
      </c>
      <c r="E23" s="24" t="s">
        <v>79</v>
      </c>
      <c r="F23" s="24" t="n">
        <v>0</v>
      </c>
      <c r="G23" s="25" t="n">
        <v>0</v>
      </c>
      <c r="H23" s="20"/>
      <c r="I23" s="21"/>
      <c r="J23" s="21"/>
      <c r="K23" s="21"/>
      <c r="L23" s="22"/>
    </row>
    <row r="24" customFormat="false" ht="16.5" hidden="false" customHeight="true" outlineLevel="0" collapsed="false">
      <c r="A24" s="17" t="n">
        <v>46263</v>
      </c>
      <c r="B24" s="18" t="s">
        <v>67</v>
      </c>
      <c r="C24" s="18" t="n">
        <v>3</v>
      </c>
      <c r="D24" s="18" t="s">
        <v>68</v>
      </c>
      <c r="E24" s="18" t="s">
        <v>80</v>
      </c>
      <c r="F24" s="18" t="n">
        <v>80</v>
      </c>
      <c r="G24" s="19" t="n">
        <v>7.4</v>
      </c>
      <c r="H24" s="20"/>
      <c r="I24" s="21"/>
      <c r="J24" s="21"/>
      <c r="K24" s="21"/>
      <c r="L24" s="22"/>
    </row>
    <row r="25" customFormat="false" ht="16.5" hidden="false" customHeight="true" outlineLevel="0" collapsed="false">
      <c r="A25" s="17" t="n">
        <v>46264</v>
      </c>
      <c r="B25" s="18" t="s">
        <v>70</v>
      </c>
      <c r="C25" s="18" t="n">
        <v>3</v>
      </c>
      <c r="D25" s="18" t="s">
        <v>71</v>
      </c>
      <c r="E25" s="18" t="s">
        <v>81</v>
      </c>
      <c r="F25" s="18" t="n">
        <v>95</v>
      </c>
      <c r="G25" s="19" t="n">
        <v>14</v>
      </c>
      <c r="H25" s="20"/>
      <c r="I25" s="21"/>
      <c r="J25" s="21"/>
      <c r="K25" s="21"/>
      <c r="L25" s="22"/>
    </row>
    <row r="26" customFormat="false" ht="16.5" hidden="false" customHeight="true" outlineLevel="0" collapsed="false">
      <c r="A26" s="23" t="n">
        <v>46265</v>
      </c>
      <c r="B26" s="24" t="s">
        <v>53</v>
      </c>
      <c r="C26" s="24" t="n">
        <v>4</v>
      </c>
      <c r="D26" s="24" t="s">
        <v>66</v>
      </c>
      <c r="E26" s="24" t="s">
        <v>82</v>
      </c>
      <c r="F26" s="24" t="n">
        <v>35</v>
      </c>
      <c r="G26" s="25" t="n">
        <v>0</v>
      </c>
      <c r="H26" s="20"/>
      <c r="I26" s="21"/>
      <c r="J26" s="21"/>
      <c r="K26" s="21"/>
      <c r="L26" s="22"/>
    </row>
    <row r="27" customFormat="false" ht="16.5" hidden="false" customHeight="true" outlineLevel="0" collapsed="false">
      <c r="A27" s="17" t="n">
        <v>46266</v>
      </c>
      <c r="B27" s="18" t="s">
        <v>56</v>
      </c>
      <c r="C27" s="18" t="n">
        <v>4</v>
      </c>
      <c r="D27" s="18" t="s">
        <v>83</v>
      </c>
      <c r="E27" s="18" t="s">
        <v>84</v>
      </c>
      <c r="F27" s="18" t="n">
        <v>65</v>
      </c>
      <c r="G27" s="19" t="n">
        <v>0</v>
      </c>
      <c r="H27" s="20"/>
      <c r="I27" s="21"/>
      <c r="J27" s="21"/>
      <c r="K27" s="21"/>
      <c r="L27" s="22"/>
    </row>
    <row r="28" customFormat="false" ht="16.5" hidden="false" customHeight="true" outlineLevel="0" collapsed="false">
      <c r="A28" s="17" t="n">
        <v>46267</v>
      </c>
      <c r="B28" s="18" t="s">
        <v>59</v>
      </c>
      <c r="C28" s="18" t="n">
        <v>4</v>
      </c>
      <c r="D28" s="18" t="s">
        <v>60</v>
      </c>
      <c r="E28" s="18" t="s">
        <v>85</v>
      </c>
      <c r="F28" s="18" t="n">
        <v>55</v>
      </c>
      <c r="G28" s="19" t="n">
        <v>8</v>
      </c>
      <c r="H28" s="20"/>
      <c r="I28" s="21"/>
      <c r="J28" s="21"/>
      <c r="K28" s="21"/>
      <c r="L28" s="22"/>
    </row>
    <row r="29" customFormat="false" ht="16.5" hidden="false" customHeight="true" outlineLevel="0" collapsed="false">
      <c r="A29" s="17" t="n">
        <v>46268</v>
      </c>
      <c r="B29" s="18" t="s">
        <v>62</v>
      </c>
      <c r="C29" s="18" t="n">
        <v>4</v>
      </c>
      <c r="D29" s="18" t="s">
        <v>83</v>
      </c>
      <c r="E29" s="18" t="s">
        <v>86</v>
      </c>
      <c r="F29" s="18" t="n">
        <v>65</v>
      </c>
      <c r="G29" s="19" t="n">
        <v>0</v>
      </c>
      <c r="H29" s="20"/>
      <c r="I29" s="21"/>
      <c r="J29" s="21"/>
      <c r="K29" s="21"/>
      <c r="L29" s="22"/>
    </row>
    <row r="30" customFormat="false" ht="16.5" hidden="false" customHeight="true" outlineLevel="0" collapsed="false">
      <c r="A30" s="23" t="n">
        <v>46269</v>
      </c>
      <c r="B30" s="24" t="s">
        <v>65</v>
      </c>
      <c r="C30" s="24" t="n">
        <v>4</v>
      </c>
      <c r="D30" s="24" t="s">
        <v>66</v>
      </c>
      <c r="E30" s="24" t="s">
        <v>66</v>
      </c>
      <c r="F30" s="24" t="n">
        <v>0</v>
      </c>
      <c r="G30" s="25" t="n">
        <v>0</v>
      </c>
      <c r="H30" s="20"/>
      <c r="I30" s="21"/>
      <c r="J30" s="21"/>
      <c r="K30" s="21"/>
      <c r="L30" s="22"/>
    </row>
    <row r="31" customFormat="false" ht="16.5" hidden="false" customHeight="true" outlineLevel="0" collapsed="false">
      <c r="A31" s="17" t="n">
        <v>46270</v>
      </c>
      <c r="B31" s="18" t="s">
        <v>67</v>
      </c>
      <c r="C31" s="18" t="n">
        <v>4</v>
      </c>
      <c r="D31" s="18" t="s">
        <v>87</v>
      </c>
      <c r="E31" s="18" t="s">
        <v>88</v>
      </c>
      <c r="F31" s="18" t="n">
        <v>60</v>
      </c>
      <c r="G31" s="19" t="n">
        <v>6.5</v>
      </c>
      <c r="H31" s="20"/>
      <c r="I31" s="21"/>
      <c r="J31" s="21"/>
      <c r="K31" s="21"/>
      <c r="L31" s="22"/>
    </row>
    <row r="32" customFormat="false" ht="16.5" hidden="false" customHeight="true" outlineLevel="0" collapsed="false">
      <c r="A32" s="17" t="n">
        <v>46271</v>
      </c>
      <c r="B32" s="18" t="s">
        <v>70</v>
      </c>
      <c r="C32" s="18" t="n">
        <v>4</v>
      </c>
      <c r="D32" s="18" t="s">
        <v>71</v>
      </c>
      <c r="E32" s="18" t="s">
        <v>89</v>
      </c>
      <c r="F32" s="18" t="n">
        <v>85</v>
      </c>
      <c r="G32" s="19" t="n">
        <v>12</v>
      </c>
      <c r="H32" s="20"/>
      <c r="I32" s="21"/>
      <c r="J32" s="21"/>
      <c r="K32" s="21"/>
      <c r="L32" s="22"/>
    </row>
    <row r="34" customFormat="false" ht="15" hidden="false" customHeight="false" outlineLevel="0" collapsed="false">
      <c r="E34" s="3" t="s">
        <v>90</v>
      </c>
      <c r="F34" s="11" t="n">
        <f aca="false">SUM(F5:F32)</f>
        <v>1555</v>
      </c>
      <c r="G34" s="11" t="n">
        <f aca="false">SUM(G5:G32)</f>
        <v>130.9</v>
      </c>
      <c r="H34" s="11" t="n">
        <f aca="false">SUM(H5:H32)</f>
        <v>0</v>
      </c>
      <c r="I34" s="26" t="str">
        <f aca="false">COUNTIF(I5:I32,"Ja")&amp;" von "&amp;COUNTIF(D5:D32,"&lt;&gt;Ruhetag")</f>
        <v>0 von 23</v>
      </c>
      <c r="J34" s="11" t="str">
        <f aca="false">IFERROR(ROUND(AVERAGEIF(J5:J32,"&gt;0"),1),"–")</f>
        <v>–</v>
      </c>
    </row>
  </sheetData>
  <autoFilter ref="A4:L32"/>
  <dataValidations count="3">
    <dataValidation allowBlank="true" errorStyle="stop" operator="between" showDropDown="false" showErrorMessage="false" showInputMessage="false" sqref="I5:I32" type="list">
      <formula1>"Ja,Nein,Teilweise,Ausgefallen"</formula1>
      <formula2>0</formula2>
    </dataValidation>
    <dataValidation allowBlank="true" errorStyle="stop" operator="between" showDropDown="false" showErrorMessage="false" showInputMessage="false" sqref="K5:K32" type="list">
      <formula1>"gut,leicht spürbar,deutlich,Schmerz"</formula1>
      <formula2>0</formula2>
    </dataValidation>
    <dataValidation allowBlank="true" errorStyle="stop" operator="between" showDropDown="false" showErrorMessage="false" showInputMessage="false" sqref="J5:J32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15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6" t="s">
        <v>91</v>
      </c>
    </row>
    <row r="2" customFormat="false" ht="30" hidden="false" customHeight="true" outlineLevel="0" collapsed="false">
      <c r="A2" s="27" t="s">
        <v>92</v>
      </c>
      <c r="B2" s="27"/>
      <c r="C2" s="27"/>
      <c r="D2" s="27"/>
      <c r="E2" s="27"/>
    </row>
    <row r="4" customFormat="false" ht="27.75" hidden="false" customHeight="true" outlineLevel="0" collapsed="false">
      <c r="A4" s="4" t="s">
        <v>93</v>
      </c>
      <c r="B4" s="4" t="s">
        <v>94</v>
      </c>
      <c r="C4" s="4" t="s">
        <v>95</v>
      </c>
      <c r="D4" s="4" t="s">
        <v>96</v>
      </c>
      <c r="E4" s="4" t="s">
        <v>97</v>
      </c>
    </row>
    <row r="5" customFormat="false" ht="15" hidden="false" customHeight="false" outlineLevel="0" collapsed="false">
      <c r="A5" s="13" t="n">
        <v>1</v>
      </c>
      <c r="B5" s="13" t="s">
        <v>98</v>
      </c>
      <c r="C5" s="13" t="s">
        <v>99</v>
      </c>
      <c r="D5" s="28"/>
      <c r="E5" s="22"/>
    </row>
    <row r="6" customFormat="false" ht="15" hidden="false" customHeight="false" outlineLevel="0" collapsed="false">
      <c r="A6" s="13" t="n">
        <v>2</v>
      </c>
      <c r="B6" s="13" t="s">
        <v>100</v>
      </c>
      <c r="C6" s="13" t="s">
        <v>101</v>
      </c>
      <c r="D6" s="28"/>
      <c r="E6" s="22"/>
    </row>
    <row r="7" customFormat="false" ht="15" hidden="false" customHeight="false" outlineLevel="0" collapsed="false">
      <c r="A7" s="13" t="n">
        <v>3</v>
      </c>
      <c r="B7" s="13" t="s">
        <v>102</v>
      </c>
      <c r="C7" s="13" t="s">
        <v>103</v>
      </c>
      <c r="D7" s="28"/>
      <c r="E7" s="22"/>
    </row>
    <row r="8" customFormat="false" ht="15" hidden="false" customHeight="false" outlineLevel="0" collapsed="false">
      <c r="A8" s="13" t="n">
        <v>4</v>
      </c>
      <c r="B8" s="13" t="s">
        <v>100</v>
      </c>
      <c r="C8" s="13" t="s">
        <v>101</v>
      </c>
      <c r="D8" s="28"/>
      <c r="E8" s="22"/>
    </row>
    <row r="9" customFormat="false" ht="15" hidden="false" customHeight="false" outlineLevel="0" collapsed="false">
      <c r="A9" s="13" t="n">
        <v>5</v>
      </c>
      <c r="B9" s="13" t="s">
        <v>104</v>
      </c>
      <c r="C9" s="13" t="s">
        <v>105</v>
      </c>
      <c r="D9" s="28"/>
      <c r="E9" s="22"/>
    </row>
    <row r="10" customFormat="false" ht="15" hidden="false" customHeight="false" outlineLevel="0" collapsed="false">
      <c r="A10" s="13" t="n">
        <v>6</v>
      </c>
      <c r="B10" s="13" t="s">
        <v>100</v>
      </c>
      <c r="C10" s="13" t="s">
        <v>101</v>
      </c>
      <c r="D10" s="28"/>
      <c r="E10" s="22"/>
    </row>
    <row r="11" customFormat="false" ht="15" hidden="false" customHeight="false" outlineLevel="0" collapsed="false">
      <c r="A11" s="13" t="n">
        <v>7</v>
      </c>
      <c r="B11" s="13" t="s">
        <v>106</v>
      </c>
      <c r="C11" s="13" t="s">
        <v>107</v>
      </c>
      <c r="D11" s="28"/>
      <c r="E11" s="22"/>
    </row>
    <row r="12" customFormat="false" ht="15" hidden="false" customHeight="false" outlineLevel="0" collapsed="false">
      <c r="A12" s="13" t="n">
        <v>8</v>
      </c>
      <c r="B12" s="13" t="s">
        <v>100</v>
      </c>
      <c r="C12" s="13" t="s">
        <v>101</v>
      </c>
      <c r="D12" s="28"/>
      <c r="E12" s="22"/>
    </row>
    <row r="13" customFormat="false" ht="15" hidden="false" customHeight="false" outlineLevel="0" collapsed="false">
      <c r="B13" s="3" t="s">
        <v>108</v>
      </c>
      <c r="C13" s="3" t="s">
        <v>109</v>
      </c>
      <c r="D13" s="29"/>
    </row>
    <row r="15" customFormat="false" ht="15" hidden="false" customHeight="false" outlineLevel="0" collapsed="false">
      <c r="B15" s="3" t="s">
        <v>110</v>
      </c>
    </row>
    <row r="16" customFormat="false" ht="15" hidden="false" customHeight="false" outlineLevel="0" collapsed="false">
      <c r="B16" s="13" t="s">
        <v>111</v>
      </c>
      <c r="C16" s="29"/>
      <c r="D16" s="29"/>
      <c r="E16" s="29"/>
    </row>
    <row r="17" customFormat="false" ht="15" hidden="false" customHeight="false" outlineLevel="0" collapsed="false">
      <c r="B17" s="13" t="s">
        <v>112</v>
      </c>
      <c r="C17" s="29"/>
      <c r="D17" s="29"/>
      <c r="E17" s="29"/>
    </row>
    <row r="18" customFormat="false" ht="15" hidden="false" customHeight="false" outlineLevel="0" collapsed="false">
      <c r="B18" s="13" t="s">
        <v>113</v>
      </c>
      <c r="C18" s="29"/>
      <c r="D18" s="29"/>
      <c r="E18" s="29"/>
    </row>
    <row r="19" customFormat="false" ht="15" hidden="false" customHeight="false" outlineLevel="0" collapsed="false">
      <c r="B19" s="13" t="s">
        <v>114</v>
      </c>
      <c r="C19" s="29"/>
      <c r="D19" s="29"/>
      <c r="E19" s="29"/>
    </row>
    <row r="20" customFormat="false" ht="15" hidden="false" customHeight="false" outlineLevel="0" collapsed="false">
      <c r="B20" s="13" t="s">
        <v>115</v>
      </c>
      <c r="C20" s="29"/>
      <c r="D20" s="29"/>
      <c r="E20" s="29"/>
    </row>
    <row r="21" customFormat="false" ht="15" hidden="false" customHeight="false" outlineLevel="0" collapsed="false">
      <c r="B21" s="13" t="s">
        <v>116</v>
      </c>
      <c r="C21" s="29"/>
      <c r="D21" s="29"/>
      <c r="E21" s="29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6" t="s">
        <v>117</v>
      </c>
    </row>
    <row r="3" customFormat="false" ht="15" hidden="false" customHeight="false" outlineLevel="0" collapsed="false">
      <c r="A3" s="3" t="s">
        <v>118</v>
      </c>
    </row>
    <row r="4" customFormat="false" ht="27.75" hidden="false" customHeight="true" outlineLevel="0" collapsed="false">
      <c r="A4" s="4" t="s">
        <v>119</v>
      </c>
      <c r="B4" s="4" t="s">
        <v>120</v>
      </c>
      <c r="C4" s="4" t="s">
        <v>121</v>
      </c>
    </row>
    <row r="5" customFormat="false" ht="27.75" hidden="false" customHeight="true" outlineLevel="0" collapsed="false">
      <c r="A5" s="30" t="s">
        <v>122</v>
      </c>
      <c r="B5" s="30" t="s">
        <v>123</v>
      </c>
      <c r="C5" s="31" t="s">
        <v>124</v>
      </c>
    </row>
    <row r="6" customFormat="false" ht="27.75" hidden="false" customHeight="true" outlineLevel="0" collapsed="false">
      <c r="A6" s="30" t="s">
        <v>71</v>
      </c>
      <c r="B6" s="30" t="s">
        <v>125</v>
      </c>
      <c r="C6" s="31" t="s">
        <v>126</v>
      </c>
    </row>
    <row r="7" customFormat="false" ht="27.75" hidden="false" customHeight="true" outlineLevel="0" collapsed="false">
      <c r="A7" s="30" t="s">
        <v>127</v>
      </c>
      <c r="B7" s="30" t="s">
        <v>128</v>
      </c>
      <c r="C7" s="31" t="s">
        <v>129</v>
      </c>
    </row>
    <row r="8" customFormat="false" ht="27.75" hidden="false" customHeight="true" outlineLevel="0" collapsed="false">
      <c r="A8" s="30" t="s">
        <v>130</v>
      </c>
      <c r="B8" s="30" t="s">
        <v>131</v>
      </c>
      <c r="C8" s="31" t="s">
        <v>132</v>
      </c>
    </row>
    <row r="9" customFormat="false" ht="27.75" hidden="false" customHeight="true" outlineLevel="0" collapsed="false">
      <c r="A9" s="30" t="s">
        <v>133</v>
      </c>
      <c r="B9" s="30" t="s">
        <v>134</v>
      </c>
      <c r="C9" s="31" t="s">
        <v>135</v>
      </c>
    </row>
    <row r="10" customFormat="false" ht="27.75" hidden="false" customHeight="true" outlineLevel="0" collapsed="false">
      <c r="A10" s="30" t="s">
        <v>136</v>
      </c>
      <c r="B10" s="30" t="s">
        <v>137</v>
      </c>
      <c r="C10" s="31" t="s">
        <v>138</v>
      </c>
    </row>
    <row r="11" customFormat="false" ht="27.75" hidden="false" customHeight="true" outlineLevel="0" collapsed="false">
      <c r="A11" s="30" t="s">
        <v>139</v>
      </c>
      <c r="B11" s="30" t="s">
        <v>140</v>
      </c>
      <c r="C11" s="31" t="s">
        <v>141</v>
      </c>
    </row>
    <row r="13" customFormat="false" ht="15" hidden="false" customHeight="false" outlineLevel="0" collapsed="false">
      <c r="A13" s="3" t="s">
        <v>142</v>
      </c>
    </row>
    <row r="14" customFormat="false" ht="27.75" hidden="false" customHeight="true" outlineLevel="0" collapsed="false">
      <c r="A14" s="4" t="s">
        <v>143</v>
      </c>
      <c r="B14" s="4" t="s">
        <v>144</v>
      </c>
      <c r="C14" s="4" t="s">
        <v>145</v>
      </c>
    </row>
    <row r="15" customFormat="false" ht="27.75" hidden="false" customHeight="true" outlineLevel="0" collapsed="false">
      <c r="A15" s="30" t="s">
        <v>98</v>
      </c>
      <c r="B15" s="30" t="s">
        <v>146</v>
      </c>
      <c r="C15" s="31" t="s">
        <v>147</v>
      </c>
    </row>
    <row r="16" customFormat="false" ht="27.75" hidden="false" customHeight="true" outlineLevel="0" collapsed="false">
      <c r="A16" s="30" t="s">
        <v>148</v>
      </c>
      <c r="B16" s="30" t="s">
        <v>149</v>
      </c>
      <c r="C16" s="31" t="s">
        <v>150</v>
      </c>
    </row>
    <row r="17" customFormat="false" ht="27.75" hidden="false" customHeight="true" outlineLevel="0" collapsed="false">
      <c r="A17" s="30" t="s">
        <v>151</v>
      </c>
      <c r="B17" s="30" t="s">
        <v>152</v>
      </c>
      <c r="C17" s="31" t="s">
        <v>153</v>
      </c>
    </row>
    <row r="18" customFormat="false" ht="27.75" hidden="false" customHeight="true" outlineLevel="0" collapsed="false">
      <c r="A18" s="30" t="s">
        <v>154</v>
      </c>
      <c r="B18" s="30" t="s">
        <v>155</v>
      </c>
      <c r="C18" s="31" t="s">
        <v>156</v>
      </c>
    </row>
    <row r="19" customFormat="false" ht="27.75" hidden="false" customHeight="true" outlineLevel="0" collapsed="false">
      <c r="A19" s="30" t="s">
        <v>157</v>
      </c>
      <c r="B19" s="30" t="s">
        <v>158</v>
      </c>
      <c r="C19" s="31" t="s">
        <v>159</v>
      </c>
    </row>
    <row r="20" customFormat="false" ht="27.75" hidden="false" customHeight="true" outlineLevel="0" collapsed="false">
      <c r="A20" s="30" t="s">
        <v>160</v>
      </c>
      <c r="B20" s="30" t="s">
        <v>161</v>
      </c>
      <c r="C20" s="31" t="s">
        <v>162</v>
      </c>
    </row>
    <row r="21" customFormat="false" ht="27.75" hidden="false" customHeight="true" outlineLevel="0" collapsed="false">
      <c r="A21" s="30" t="s">
        <v>163</v>
      </c>
      <c r="B21" s="30" t="s">
        <v>164</v>
      </c>
      <c r="C21" s="31" t="s">
        <v>165</v>
      </c>
    </row>
    <row r="22" customFormat="false" ht="27.75" hidden="false" customHeight="true" outlineLevel="0" collapsed="false">
      <c r="A22" s="30" t="s">
        <v>166</v>
      </c>
      <c r="B22" s="30" t="s">
        <v>167</v>
      </c>
      <c r="C22" s="31" t="s">
        <v>168</v>
      </c>
    </row>
    <row r="24" customFormat="false" ht="15" hidden="false" customHeight="false" outlineLevel="0" collapsed="false">
      <c r="A24" s="3" t="s">
        <v>169</v>
      </c>
    </row>
    <row r="25" customFormat="false" ht="27.75" hidden="false" customHeight="true" outlineLevel="0" collapsed="false">
      <c r="A25" s="4" t="s">
        <v>170</v>
      </c>
      <c r="B25" s="4"/>
      <c r="C25" s="4"/>
    </row>
    <row r="26" customFormat="false" ht="27.75" hidden="false" customHeight="true" outlineLevel="0" collapsed="false">
      <c r="A26" s="30" t="s">
        <v>171</v>
      </c>
      <c r="B26" s="30"/>
      <c r="C26" s="31"/>
    </row>
    <row r="27" customFormat="false" ht="27.75" hidden="false" customHeight="true" outlineLevel="0" collapsed="false">
      <c r="A27" s="30" t="s">
        <v>172</v>
      </c>
      <c r="B27" s="30"/>
      <c r="C27" s="31"/>
    </row>
    <row r="28" customFormat="false" ht="27.75" hidden="false" customHeight="true" outlineLevel="0" collapsed="false">
      <c r="A28" s="30" t="s">
        <v>173</v>
      </c>
      <c r="B28" s="30"/>
      <c r="C28" s="31"/>
    </row>
    <row r="29" customFormat="false" ht="27.75" hidden="false" customHeight="true" outlineLevel="0" collapsed="false">
      <c r="A29" s="30" t="s">
        <v>174</v>
      </c>
      <c r="B29" s="30"/>
      <c r="C29" s="31"/>
    </row>
    <row r="30" customFormat="false" ht="27.75" hidden="false" customHeight="true" outlineLevel="0" collapsed="false">
      <c r="A30" s="30" t="s">
        <v>175</v>
      </c>
      <c r="B30" s="30"/>
      <c r="C30" s="31"/>
    </row>
    <row r="31" customFormat="false" ht="27.75" hidden="false" customHeight="true" outlineLevel="0" collapsed="false">
      <c r="A31" s="30" t="s">
        <v>176</v>
      </c>
      <c r="B31" s="30"/>
      <c r="C31" s="31"/>
    </row>
    <row r="32" customFormat="false" ht="27.75" hidden="false" customHeight="true" outlineLevel="0" collapsed="false">
      <c r="A32" s="30" t="s">
        <v>177</v>
      </c>
      <c r="B32" s="30"/>
      <c r="C32" s="31"/>
    </row>
    <row r="33" customFormat="false" ht="27.75" hidden="false" customHeight="true" outlineLevel="0" collapsed="false">
      <c r="A33" s="30" t="s">
        <v>178</v>
      </c>
      <c r="B33" s="30"/>
      <c r="C33" s="31"/>
    </row>
    <row r="35" customFormat="false" ht="15" hidden="false" customHeight="false" outlineLevel="0" collapsed="false">
      <c r="A35" s="3" t="s">
        <v>179</v>
      </c>
    </row>
    <row r="36" customFormat="false" ht="27.75" hidden="false" customHeight="true" outlineLevel="0" collapsed="false">
      <c r="A36" s="4" t="s">
        <v>170</v>
      </c>
      <c r="B36" s="4"/>
      <c r="C36" s="4"/>
    </row>
    <row r="37" customFormat="false" ht="27.75" hidden="false" customHeight="true" outlineLevel="0" collapsed="false">
      <c r="A37" s="30" t="s">
        <v>180</v>
      </c>
      <c r="B37" s="30"/>
      <c r="C37" s="31"/>
    </row>
    <row r="38" customFormat="false" ht="27.75" hidden="false" customHeight="true" outlineLevel="0" collapsed="false">
      <c r="A38" s="30" t="s">
        <v>181</v>
      </c>
      <c r="B38" s="30"/>
      <c r="C38" s="31"/>
    </row>
    <row r="39" customFormat="false" ht="27.75" hidden="false" customHeight="true" outlineLevel="0" collapsed="false">
      <c r="A39" s="30" t="s">
        <v>182</v>
      </c>
      <c r="B39" s="30"/>
      <c r="C39" s="31"/>
    </row>
    <row r="40" customFormat="false" ht="27.75" hidden="false" customHeight="true" outlineLevel="0" collapsed="false">
      <c r="A40" s="30" t="s">
        <v>183</v>
      </c>
      <c r="B40" s="30"/>
      <c r="C40" s="31"/>
    </row>
    <row r="41" customFormat="false" ht="27.75" hidden="false" customHeight="true" outlineLevel="0" collapsed="false">
      <c r="A41" s="30" t="s">
        <v>184</v>
      </c>
      <c r="B41" s="30"/>
      <c r="C41" s="31"/>
    </row>
    <row r="42" customFormat="false" ht="27.75" hidden="false" customHeight="true" outlineLevel="0" collapsed="false">
      <c r="A42" s="30" t="s">
        <v>185</v>
      </c>
      <c r="B42" s="30"/>
      <c r="C42" s="31"/>
    </row>
    <row r="43" customFormat="false" ht="27.75" hidden="false" customHeight="true" outlineLevel="0" collapsed="false">
      <c r="A43" s="30" t="s">
        <v>186</v>
      </c>
      <c r="B43" s="30"/>
      <c r="C43" s="31"/>
    </row>
    <row r="44" customFormat="false" ht="27.75" hidden="false" customHeight="true" outlineLevel="0" collapsed="false">
      <c r="A44" s="30" t="s">
        <v>187</v>
      </c>
      <c r="B44" s="30"/>
      <c r="C44" s="31"/>
    </row>
    <row r="46" customFormat="false" ht="15" hidden="false" customHeight="false" outlineLevel="0" collapsed="false">
      <c r="A46" s="3" t="s">
        <v>188</v>
      </c>
    </row>
    <row r="47" customFormat="false" ht="27.75" hidden="false" customHeight="true" outlineLevel="0" collapsed="false">
      <c r="A47" s="4" t="s">
        <v>189</v>
      </c>
      <c r="B47" s="4"/>
      <c r="C47" s="4"/>
    </row>
    <row r="48" customFormat="false" ht="27.75" hidden="false" customHeight="true" outlineLevel="0" collapsed="false">
      <c r="A48" s="30" t="s">
        <v>190</v>
      </c>
      <c r="B48" s="30"/>
      <c r="C48" s="31"/>
    </row>
    <row r="49" customFormat="false" ht="27.75" hidden="false" customHeight="true" outlineLevel="0" collapsed="false">
      <c r="A49" s="30" t="s">
        <v>191</v>
      </c>
      <c r="B49" s="30"/>
      <c r="C49" s="31"/>
    </row>
    <row r="50" customFormat="false" ht="27.75" hidden="false" customHeight="true" outlineLevel="0" collapsed="false">
      <c r="A50" s="30" t="s">
        <v>192</v>
      </c>
      <c r="B50" s="30"/>
      <c r="C50" s="31"/>
    </row>
    <row r="51" customFormat="false" ht="27.75" hidden="false" customHeight="true" outlineLevel="0" collapsed="false">
      <c r="A51" s="30" t="s">
        <v>193</v>
      </c>
      <c r="B51" s="30"/>
      <c r="C51" s="31"/>
    </row>
    <row r="52" customFormat="false" ht="27.75" hidden="false" customHeight="true" outlineLevel="0" collapsed="false">
      <c r="A52" s="30" t="s">
        <v>194</v>
      </c>
      <c r="B52" s="30"/>
      <c r="C52" s="31"/>
    </row>
    <row r="53" customFormat="false" ht="27.75" hidden="false" customHeight="true" outlineLevel="0" collapsed="false">
      <c r="A53" s="30" t="s">
        <v>195</v>
      </c>
      <c r="B53" s="30"/>
      <c r="C53" s="31"/>
    </row>
    <row r="55" customFormat="false" ht="15" hidden="false" customHeight="false" outlineLevel="0" collapsed="false">
      <c r="A55" s="3" t="s">
        <v>196</v>
      </c>
    </row>
    <row r="56" customFormat="false" ht="15" hidden="false" customHeight="false" outlineLevel="0" collapsed="false">
      <c r="A56" s="27" t="s">
        <v>197</v>
      </c>
      <c r="B56" s="27"/>
      <c r="C56" s="27"/>
    </row>
  </sheetData>
  <mergeCells count="1">
    <mergeCell ref="A56:C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2026-08-10T17:32:09Z</dcterms:created>
  <dc:creator>openpyxl</dc:creator>
  <dc:description/>
  <dc:language>en-US</dc:language>
  <cp:lastModifiedBy/>
  <dcterms:modified xsi:type="dcterms:W3CDTF">2026-08-10T17:32:09Z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